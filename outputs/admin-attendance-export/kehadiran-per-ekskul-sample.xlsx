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da024172c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aab80515bb9a470e"/>
    <x:sheet xmlns:r="http://schemas.openxmlformats.org/officeDocument/2006/relationships" name="Rekap Kehadiran" sheetId="2" r:id="R62cff7ea066040e9"/>
    <x:sheet xmlns:r="http://schemas.openxmlformats.org/officeDocument/2006/relationships" name="Detail Izin" sheetId="3" r:id="R94df922554a5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0.0%"/>
    <x:numFmt numFmtId="203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35F"/>
      <x:name val="Carlito"/>
    </x:font>
    <x:font>
      <x:sz val="11"/>
      <x:color rgb="FF646464"/>
      <x:name val="Carlito"/>
    </x:font>
    <x:font>
      <x:b/>
      <x:sz val="11"/>
      <x:color rgb="FFFFFFFF"/>
      <x:name val="Carlito"/>
    </x:font>
    <x:font>
      <x:b/>
      <x:sz val="14"/>
      <x:color rgb="FF141414"/>
      <x:name val="Carlito"/>
    </x:font>
    <x:font>
      <x:b/>
      <x:sz val="11"/>
      <x:color rgb="FF141414"/>
      <x:name val="Carlito"/>
    </x:font>
    <x:font>
      <x:b/>
      <x:sz val="11"/>
      <x:color rgb="FF64646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35F"/>
      </x:patternFill>
    </x:fill>
    <x:fill>
      <x:patternFill patternType="solid">
        <x:fgColor rgb="FFDCEAFF"/>
      </x:patternFill>
    </x:fill>
    <x:fill>
      <x:patternFill patternType="solid">
        <x:fgColor rgb="FFF7F7F4"/>
      </x:patternFill>
    </x:fill>
    <x:fill>
      <x:patternFill patternType="solid">
        <x:fgColor rgb="FF2D72E8"/>
      </x:patternFill>
    </x:fill>
    <x:fill>
      <x:patternFill patternType="solid">
        <x:fgColor rgb="FFFF8A34"/>
      </x:patternFill>
    </x:fill>
    <x:fill>
      <x:patternFill patternType="solid">
        <x:fgColor rgb="FFFFE0C2"/>
      </x:patternFill>
    </x:fill>
  </x:fills>
  <x:borders count="6">
    <x:border/>
    <x:border>
      <x:left style="medium">
        <x:color rgb="FF0B235F"/>
      </x:left>
      <x:top style="medium">
        <x:color rgb="FF0B235F"/>
      </x:top>
      <x:bottom style="medium">
        <x:color rgb="FF0B235F"/>
      </x:bottom>
    </x:border>
    <x:border>
      <x:top style="medium">
        <x:color rgb="FF0B235F"/>
      </x:top>
      <x:bottom style="medium">
        <x:color rgb="FF0B235F"/>
      </x:bottom>
    </x:border>
    <x:border>
      <x:right style="medium">
        <x:color rgb="FF0B235F"/>
      </x:right>
      <x:top style="medium">
        <x:color rgb="FF0B235F"/>
      </x:top>
      <x:bottom style="medium">
        <x:color rgb="FF0B235F"/>
      </x:bottom>
    </x:border>
    <x:border>
      <x:bottom style="thin">
        <x:color rgb="FFD4D7DE"/>
      </x:bottom>
    </x:border>
    <x:border>
      <x:top style="thin">
        <x:color rgb="FFD4D7DE"/>
      </x:top>
      <x:bottom style="medium">
        <x:color rgb="FF0B235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203" fontId="5" fillId="6" borderId="1" xfId="0" applyNumberFormat="1" applyFont="1" applyFill="1" applyBorder="1"/>
    <x:xf numFmtId="203" fontId="5" fillId="6" borderId="2" xfId="0" applyNumberFormat="1" applyFont="1" applyFill="1" applyBorder="1"/>
    <x:xf numFmtId="202" fontId="5" fillId="6" borderId="3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201" fontId="7" fillId="4" borderId="4" xfId="0" applyNumberFormat="1" applyFont="1" applyFill="1" applyBorder="1"/>
    <x:xf numFmtId="201" fontId="7" fillId="4" borderId="5" xfId="0" applyNumberFormat="1" applyFont="1" applyFill="1" applyBorder="1"/>
    <x:xf numFmtId="200" fontId="7" fillId="4" borderId="4" xfId="0" applyNumberFormat="1" applyFont="1" applyFill="1" applyBorder="1"/>
    <x:xf numFmtId="200" fontId="7" fillId="4" borderId="5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41414"/>
      </x:font>
      <x:fill>
        <x:patternFill patternType="solid">
          <x:bgColor rgb="FFBAF7C7"/>
        </x:patternFill>
      </x:fill>
    </x:dxf>
    <x:dxf>
      <x:font>
        <x:color rgb="FF141414"/>
      </x:font>
      <x:fill>
        <x:patternFill patternType="solid">
          <x:bgColor rgb="FFFFE0C2"/>
        </x:patternFill>
      </x:fill>
    </x:dxf>
    <x:dxf>
      <x:font>
        <x:color rgb="FF141414"/>
      </x:font>
      <x:fill>
        <x:patternFill patternType="solid">
          <x:bgColor rgb="FFFFD2D2"/>
        </x:patternFill>
      </x:fill>
    </x:dxf>
    <x:dxf>
      <x:font>
        <x:color rgb="FF141414"/>
      </x:font>
      <x:fill>
        <x:patternFill patternType="solid">
          <x:bgColor rgb="FFFFF0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efeb5b65d46ad" /><Relationship Type="http://schemas.openxmlformats.org/officeDocument/2006/relationships/theme" Target="/xl/theme/theme1.xml" Id="Rdc41875714c041d1" /><Relationship Type="http://schemas.openxmlformats.org/officeDocument/2006/relationships/sharedStrings" Target="/xl/sharedStrings.xml" Id="R6a9b77d7eea347ee" /><Relationship Type="http://schemas.openxmlformats.org/officeDocument/2006/relationships/worksheet" Target="/xl/worksheets/sheet1.xml" Id="Raab80515bb9a470e" /><Relationship Type="http://schemas.openxmlformats.org/officeDocument/2006/relationships/worksheet" Target="/xl/worksheets/sheet2.xml" Id="R62cff7ea066040e9" /><Relationship Type="http://schemas.openxmlformats.org/officeDocument/2006/relationships/worksheet" Target="/xl/worksheets/sheet3.xml" Id="R94df922554a5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20" hidden="0" customWidth="1"/>
  </x:cols>
  <x:sheetData>
    <x:row r="1" ht="34" customHeight="1">
      <x:c r="A1" s="3" t="str">
        <x:v>LAPORAN KEAKTIFAN — NIHON</x:v>
      </x:c>
      <x:c r="B1" s="3" t="str">
        <x:v>LAPORAN KEAKTIFAN — NIHON</x:v>
      </x:c>
      <x:c r="C1" s="3" t="str">
        <x:v>LAPORAN KEAKTIFAN — NIHON</x:v>
      </x:c>
      <x:c r="D1" s="3" t="str">
        <x:v>LAPORAN KEAKTIFAN — NIHON</x:v>
      </x:c>
      <x:c r="E1" s="3" t="str">
        <x:v>LAPORAN KEAKTIFAN — NIHON</x:v>
      </x:c>
      <x:c r="F1" s="3" t="str">
        <x:v>LAPORAN KEAKTIFAN — NIHON</x:v>
      </x:c>
      <x:c r="G1" s="3" t="str">
        <x:v>LAPORAN KEAKTIFAN — NIHON</x:v>
      </x:c>
      <x:c r="H1" s="3" t="str">
        <x:v>LAPORAN KEAKTIFAN — NIHON</x:v>
      </x:c>
      <x:c r="I1" s="3" t="str">
        <x:v>LAPORAN KEAKTIFAN — NIHON</x:v>
      </x:c>
      <x:c r="J1" s="3" t="str">
        <x:v>LAPORAN KEAKTIFAN — NIHON</x:v>
      </x:c>
    </x:row>
    <x:row r="2">
      <x:c r="A2" s="5" t="str">
        <x:v>Ringkasan anggota dan kehadiran sampai 05 Agu 2026</x:v>
      </x:c>
      <x:c r="B2" s="5" t="str">
        <x:v>Ringkasan anggota dan kehadiran sampai 05 Agu 2026</x:v>
      </x:c>
      <x:c r="C2" s="5" t="str">
        <x:v>Ringkasan anggota dan kehadiran sampai 05 Agu 2026</x:v>
      </x:c>
      <x:c r="D2" s="5" t="str">
        <x:v>Ringkasan anggota dan kehadiran sampai 05 Agu 2026</x:v>
      </x:c>
      <x:c r="E2" s="5" t="str">
        <x:v>Ringkasan anggota dan kehadiran sampai 05 Agu 2026</x:v>
      </x:c>
      <x:c r="F2" s="5" t="str">
        <x:v>Ringkasan anggota dan kehadiran sampai 05 Agu 2026</x:v>
      </x:c>
      <x:c r="G2" s="5" t="str">
        <x:v>Ringkasan anggota dan kehadiran sampai 05 Agu 2026</x:v>
      </x:c>
      <x:c r="H2" s="5" t="str">
        <x:v>Ringkasan anggota dan kehadiran sampai 05 Agu 2026</x:v>
      </x:c>
      <x:c r="I2" s="5" t="str">
        <x:v>Ringkasan anggota dan kehadiran sampai 05 Agu 2026</x:v>
      </x:c>
      <x:c r="J2" s="5" t="str">
        <x:v>Ringkasan anggota dan kehadiran sampai 05 Agu 2026</x:v>
      </x:c>
    </x:row>
    <x:row r="4">
      <x:c r="A4" s="26" t="str">
        <x:v>Anggota</x:v>
      </x:c>
      <x:c r="B4" s="26" t="str">
        <x:v>Agenda</x:v>
      </x:c>
      <x:c r="C4" s="26" t="str">
        <x:v>Jumlah hadir</x:v>
      </x:c>
      <x:c r="D4" s="26" t="str">
        <x:v>Izin</x:v>
      </x:c>
      <x:c r="E4" s="26" t="str">
        <x:v>Tidak hadir</x:v>
      </x:c>
      <x:c r="F4" s="26" t="str">
        <x:v>Tingkat kehadiran</x:v>
      </x:c>
    </x:row>
    <x:row r="5">
      <x:c r="A5" s="32" t="n">
        <x:f>COUNTA('Rekap Kehadiran'!$C$5:$C$6)</x:f>
        <x:v>2</x:v>
      </x:c>
      <x:c r="B5" s="33" t="n">
        <x:f>COUNTA('Rekap Kehadiran'!$F$4:$F$4)</x:f>
        <x:v>1</x:v>
      </x:c>
      <x:c r="C5" s="33" t="n">
        <x:f>SUM('Rekap Kehadiran'!$G$5:$G$6)</x:f>
        <x:v>2</x:v>
      </x:c>
      <x:c r="D5" s="33" t="n">
        <x:f>SUM('Rekap Kehadiran'!$H$5:$H$6)</x:f>
        <x:v>0</x:v>
      </x:c>
      <x:c r="E5" s="33" t="n">
        <x:f>SUM('Rekap Kehadiran'!$I$5:$I$6)</x:f>
        <x:v>0</x:v>
      </x:c>
      <x:c r="F5" s="34" t="n">
        <x:f>IF(SUM('Rekap Kehadiran'!$J$5:$J$6)=0,0,C5/SUM('Rekap Kehadiran'!$J$5:$J$6))</x:f>
        <x:v>1</x:v>
      </x:c>
    </x:row>
    <x:row r="8">
      <x:c r="A8" s="35" t="str">
        <x:v>No</x:v>
      </x:c>
      <x:c r="B8" s="35" t="str">
        <x:v>NIS</x:v>
      </x:c>
      <x:c r="C8" s="35" t="str">
        <x:v>Nama siswa</x:v>
      </x:c>
      <x:c r="D8" s="35" t="str">
        <x:v>Kelas</x:v>
      </x:c>
      <x:c r="E8" s="35" t="str">
        <x:v>Hadir</x:v>
      </x:c>
      <x:c r="F8" s="35" t="str">
        <x:v>Izin</x:v>
      </x:c>
      <x:c r="G8" s="35" t="str">
        <x:v>Tidak hadir</x:v>
      </x:c>
      <x:c r="H8" s="35" t="str">
        <x:v>Total agenda</x:v>
      </x:c>
      <x:c r="I8" s="35" t="str">
        <x:v>Tingkat kehadiran</x:v>
      </x:c>
      <x:c r="J8" s="35" t="str">
        <x:v>Keaktifan</x:v>
      </x:c>
    </x:row>
    <x:row r="9">
      <x:c r="A9" s="17" t="n">
        <x:v>1</x:v>
      </x:c>
      <x:c r="B9" s="19" t="str">
        <x:v>2501319</x:v>
      </x:c>
      <x:c r="C9" s="17" t="str">
        <x:v>Aldi Nugraha Wibowo</x:v>
      </x:c>
      <x:c r="D9" s="17" t="str">
        <x:v>XI SIJA 1</x:v>
      </x:c>
      <x:c r="E9" s="17" t="n">
        <x:f>'Rekap Kehadiran'!G5</x:f>
        <x:v>1</x:v>
      </x:c>
      <x:c r="F9" s="17" t="n">
        <x:f>'Rekap Kehadiran'!H5</x:f>
        <x:v>0</x:v>
      </x:c>
      <x:c r="G9" s="17" t="n">
        <x:f>'Rekap Kehadiran'!I5</x:f>
        <x:v>0</x:v>
      </x:c>
      <x:c r="H9" s="17" t="n">
        <x:f>'Rekap Kehadiran'!J5</x:f>
        <x:v>1</x:v>
      </x:c>
      <x:c r="I9" s="23" t="n">
        <x:f>'Rekap Kehadiran'!K5</x:f>
        <x:v>1</x:v>
      </x:c>
      <x:c r="J9" s="17" t="str">
        <x:f>'Rekap Kehadiran'!L5</x:f>
        <x:v>Sangat aktif</x:v>
      </x:c>
    </x:row>
    <x:row r="10">
      <x:c r="A10" s="18" t="n">
        <x:v>2</x:v>
      </x:c>
      <x:c r="B10" s="20" t="str">
        <x:v>2501354</x:v>
      </x:c>
      <x:c r="C10" s="18" t="str">
        <x:v>Zaskia Faradilla</x:v>
      </x:c>
      <x:c r="D10" s="18" t="str">
        <x:v>XI SIJA 1</x:v>
      </x:c>
      <x:c r="E10" s="18" t="n">
        <x:f>'Rekap Kehadiran'!G6</x:f>
        <x:v>1</x:v>
      </x:c>
      <x:c r="F10" s="18" t="n">
        <x:f>'Rekap Kehadiran'!H6</x:f>
        <x:v>0</x:v>
      </x:c>
      <x:c r="G10" s="18" t="n">
        <x:f>'Rekap Kehadiran'!I6</x:f>
        <x:v>0</x:v>
      </x:c>
      <x:c r="H10" s="18" t="n">
        <x:f>'Rekap Kehadiran'!J6</x:f>
        <x:v>1</x:v>
      </x:c>
      <x:c r="I10" s="24" t="n">
        <x:f>'Rekap Kehadiran'!K6</x:f>
        <x:v>1</x:v>
      </x:c>
      <x:c r="J10" s="18" t="str">
        <x:f>'Rekap Kehadiran'!L6</x:f>
        <x:v>Sangat aktif</x:v>
      </x:c>
    </x:row>
  </x:sheetData>
  <x:mergeCells>
    <x:mergeCell ref="A1:J1"/>
    <x:mergeCell ref="A2:J2"/>
  </x:mergeCells>
  <x:conditionalFormatting sqref="I9:I10">
    <x:cfRule type="colorScale" priority="1">
      <x:colorScale>
        <x:cfvo type="num" val="0"/>
        <x:cfvo type="num" val="0.6"/>
        <x:cfvo type="num" val="1"/>
        <x:color rgb="FFFFD2D2"/>
        <x:color rgb="FFFFF0A8"/>
        <x:color rgb="FFBAF7C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28" hidden="0" customWidth="1"/>
    <x:col min="4" max="4" width="14" hidden="0" customWidth="1"/>
    <x:col min="5" max="5" width="16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20" hidden="0" customWidth="1"/>
  </x:cols>
  <x:sheetData>
    <x:row r="1" ht="34" customHeight="1">
      <x:c r="A1" s="3" t="str">
        <x:v>REKAP KEHADIRAN EKSTRAKURIKULER — NIHON</x:v>
      </x:c>
      <x:c r="B1" s="3" t="str">
        <x:v>REKAP KEHADIRAN EKSTRAKURIKULER — NIHON</x:v>
      </x:c>
      <x:c r="C1" s="3" t="str">
        <x:v>REKAP KEHADIRAN EKSTRAKURIKULER — NIHON</x:v>
      </x:c>
      <x:c r="D1" s="3" t="str">
        <x:v>REKAP KEHADIRAN EKSTRAKURIKULER — NIHON</x:v>
      </x:c>
      <x:c r="E1" s="3" t="str">
        <x:v>REKAP KEHADIRAN EKSTRAKURIKULER — NIHON</x:v>
      </x:c>
      <x:c r="F1" s="3" t="str">
        <x:v>REKAP KEHADIRAN EKSTRAKURIKULER — NIHON</x:v>
      </x:c>
      <x:c r="G1" s="3" t="str">
        <x:v>REKAP KEHADIRAN EKSTRAKURIKULER — NIHON</x:v>
      </x:c>
      <x:c r="H1" s="3" t="str">
        <x:v>REKAP KEHADIRAN EKSTRAKURIKULER — NIHON</x:v>
      </x:c>
      <x:c r="I1" s="3" t="str">
        <x:v>REKAP KEHADIRAN EKSTRAKURIKULER — NIHON</x:v>
      </x:c>
      <x:c r="J1" s="3" t="str">
        <x:v>REKAP KEHADIRAN EKSTRAKURIKULER — NIHON</x:v>
      </x:c>
      <x:c r="K1" s="3" t="str">
        <x:v>REKAP KEHADIRAN EKSTRAKURIKULER — NIHON</x:v>
      </x:c>
      <x:c r="L1" s="3" t="str">
        <x:v>REKAP KEHADIRAN EKSTRAKURIKULER — NIHON</x:v>
      </x:c>
    </x:row>
    <x:row r="2">
      <x:c r="A2" s="6" t="str">
        <x:v>Periode 04 Agu 2026 s.d. 05 Agu 2026 • Dibuat 05 Agu 2026 • EXISEL SMKN 69 Jakarta</x:v>
      </x:c>
      <x:c r="B2" s="6" t="str">
        <x:v>Periode 04 Agu 2026 s.d. 05 Agu 2026 • Dibuat 05 Agu 2026 • EXISEL SMKN 69 Jakarta</x:v>
      </x:c>
      <x:c r="C2" s="6" t="str">
        <x:v>Periode 04 Agu 2026 s.d. 05 Agu 2026 • Dibuat 05 Agu 2026 • EXISEL SMKN 69 Jakarta</x:v>
      </x:c>
      <x:c r="D2" s="6" t="str">
        <x:v>Periode 04 Agu 2026 s.d. 05 Agu 2026 • Dibuat 05 Agu 2026 • EXISEL SMKN 69 Jakarta</x:v>
      </x:c>
      <x:c r="E2" s="6" t="str">
        <x:v>Periode 04 Agu 2026 s.d. 05 Agu 2026 • Dibuat 05 Agu 2026 • EXISEL SMKN 69 Jakarta</x:v>
      </x:c>
      <x:c r="F2" s="6" t="str">
        <x:v>Periode 04 Agu 2026 s.d. 05 Agu 2026 • Dibuat 05 Agu 2026 • EXISEL SMKN 69 Jakarta</x:v>
      </x:c>
      <x:c r="G2" s="6" t="str">
        <x:v>Periode 04 Agu 2026 s.d. 05 Agu 2026 • Dibuat 05 Agu 2026 • EXISEL SMKN 69 Jakarta</x:v>
      </x:c>
      <x:c r="H2" s="6" t="str">
        <x:v>Periode 04 Agu 2026 s.d. 05 Agu 2026 • Dibuat 05 Agu 2026 • EXISEL SMKN 69 Jakarta</x:v>
      </x:c>
      <x:c r="I2" s="6" t="str">
        <x:v>Periode 04 Agu 2026 s.d. 05 Agu 2026 • Dibuat 05 Agu 2026 • EXISEL SMKN 69 Jakarta</x:v>
      </x:c>
      <x:c r="J2" s="6" t="str">
        <x:v>Periode 04 Agu 2026 s.d. 05 Agu 2026 • Dibuat 05 Agu 2026 • EXISEL SMKN 69 Jakarta</x:v>
      </x:c>
      <x:c r="K2" s="6" t="str">
        <x:v>Periode 04 Agu 2026 s.d. 05 Agu 2026 • Dibuat 05 Agu 2026 • EXISEL SMKN 69 Jakarta</x:v>
      </x:c>
      <x:c r="L2" s="6" t="str">
        <x:v>Periode 04 Agu 2026 s.d. 05 Agu 2026 • Dibuat 05 Agu 2026 • EXISEL SMKN 69 Jakarta</x:v>
      </x:c>
    </x:row>
    <x:row r="3">
      <x:c r="A3" s="8" t="str">
        <x:v>Selasa, 15:45–17:00 • Ruang Bahasa Jepang</x:v>
      </x:c>
      <x:c r="B3" s="8" t="str">
        <x:v>Selasa, 15:45–17:00 • Ruang Bahasa Jepang</x:v>
      </x:c>
      <x:c r="C3" s="8" t="str">
        <x:v>Selasa, 15:45–17:00 • Ruang Bahasa Jepang</x:v>
      </x:c>
      <x:c r="D3" s="8" t="str">
        <x:v>Selasa, 15:45–17:00 • Ruang Bahasa Jepang</x:v>
      </x:c>
      <x:c r="E3" s="8" t="str">
        <x:v>Selasa, 15:45–17:00 • Ruang Bahasa Jepang</x:v>
      </x:c>
      <x:c r="F3" s="8" t="str">
        <x:v>Selasa, 15:45–17:00 • Ruang Bahasa Jepang</x:v>
      </x:c>
      <x:c r="G3" s="8" t="str">
        <x:v>Selasa, 15:45–17:00 • Ruang Bahasa Jepang</x:v>
      </x:c>
      <x:c r="H3" s="8" t="str">
        <x:v>Selasa, 15:45–17:00 • Ruang Bahasa Jepang</x:v>
      </x:c>
      <x:c r="I3" s="8" t="str">
        <x:v>Selasa, 15:45–17:00 • Ruang Bahasa Jepang</x:v>
      </x:c>
      <x:c r="J3" s="8" t="str">
        <x:v>Selasa, 15:45–17:00 • Ruang Bahasa Jepang</x:v>
      </x:c>
      <x:c r="K3" s="8" t="str">
        <x:v>Selasa, 15:45–17:00 • Ruang Bahasa Jepang</x:v>
      </x:c>
      <x:c r="L3" s="8" t="str">
        <x:v>Selasa, 15:45–17:00 • Ruang Bahasa Jepang</x:v>
      </x:c>
    </x:row>
    <x:row r="4" ht="34" customHeight="1">
      <x:c r="A4" s="14" t="str">
        <x:v>No</x:v>
      </x:c>
      <x:c r="B4" s="15" t="str">
        <x:v>NIS</x:v>
      </x:c>
      <x:c r="C4" s="15" t="str">
        <x:v>Nama siswa</x:v>
      </x:c>
      <x:c r="D4" s="15" t="str">
        <x:v>Kelas</x:v>
      </x:c>
      <x:c r="E4" s="15" t="str">
        <x:v>Tanggal bergabung</x:v>
      </x:c>
      <x:c r="F4" s="15" t="str">
        <x:v>04 Agu 2026</x:v>
      </x:c>
      <x:c r="G4" s="15" t="str">
        <x:v>Hadir</x:v>
      </x:c>
      <x:c r="H4" s="15" t="str">
        <x:v>Izin</x:v>
      </x:c>
      <x:c r="I4" s="15" t="str">
        <x:v>Tidak hadir</x:v>
      </x:c>
      <x:c r="J4" s="15" t="str">
        <x:v>Total agenda</x:v>
      </x:c>
      <x:c r="K4" s="15" t="str">
        <x:v>Tingkat kehadiran</x:v>
      </x:c>
      <x:c r="L4" s="16" t="str">
        <x:v>Keaktifan</x:v>
      </x:c>
    </x:row>
    <x:row r="5">
      <x:c r="A5" s="17" t="n">
        <x:v>1</x:v>
      </x:c>
      <x:c r="B5" s="19" t="str">
        <x:v>2501319</x:v>
      </x:c>
      <x:c r="C5" s="17" t="str">
        <x:v>Aldi Nugraha Wibowo</x:v>
      </x:c>
      <x:c r="D5" s="17" t="str">
        <x:v>XI SIJA 1</x:v>
      </x:c>
      <x:c r="E5" s="21" t="n">
        <x:v>46238</x:v>
      </x:c>
      <x:c r="F5" s="17" t="str">
        <x:v>Hadir</x:v>
      </x:c>
      <x:c r="G5" s="17" t="n">
        <x:f>COUNTIF(F5:F5,"Hadir")</x:f>
        <x:v>1</x:v>
      </x:c>
      <x:c r="H5" s="17" t="n">
        <x:f>COUNTIF(F5:F5,"Izin")</x:f>
        <x:v>0</x:v>
      </x:c>
      <x:c r="I5" s="17" t="n">
        <x:f>COUNTIF(F5:F5,"Tidak hadir")</x:f>
        <x:v>0</x:v>
      </x:c>
      <x:c r="J5" s="17" t="n">
        <x:f>COUNTIF(F5:F5,"Hadir")+COUNTIF(F5:F5,"Izin")+COUNTIF(F5:F5,"Tidak hadir")+COUNTIF(F5:F5,"Belum mengisi")</x:f>
        <x:v>1</x:v>
      </x:c>
      <x:c r="K5" s="23" t="n">
        <x:f>IF(J5=0,0,G5/J5)</x:f>
        <x:v>1</x:v>
      </x:c>
      <x:c r="L5" s="17" t="str">
        <x:f>IF(J5=0,"Belum ada agenda",IF(K5&gt;=0.8,"Sangat aktif",IF(K5&gt;=0.6,"Aktif",IF(K5&gt;=0.4,"Perlu ditingkatkan","Perlu perhatian"))))</x:f>
        <x:v>Sangat aktif</x:v>
      </x:c>
    </x:row>
    <x:row r="6">
      <x:c r="A6" s="18" t="n">
        <x:v>2</x:v>
      </x:c>
      <x:c r="B6" s="20" t="str">
        <x:v>2501354</x:v>
      </x:c>
      <x:c r="C6" s="18" t="str">
        <x:v>Zaskia Faradilla</x:v>
      </x:c>
      <x:c r="D6" s="18" t="str">
        <x:v>XI SIJA 1</x:v>
      </x:c>
      <x:c r="E6" s="22" t="n">
        <x:v>46238</x:v>
      </x:c>
      <x:c r="F6" s="18" t="str">
        <x:v>Hadir</x:v>
      </x:c>
      <x:c r="G6" s="18" t="n">
        <x:f>COUNTIF(F6:F6,"Hadir")</x:f>
        <x:v>1</x:v>
      </x:c>
      <x:c r="H6" s="18" t="n">
        <x:f>COUNTIF(F6:F6,"Izin")</x:f>
        <x:v>0</x:v>
      </x:c>
      <x:c r="I6" s="18" t="n">
        <x:f>COUNTIF(F6:F6,"Tidak hadir")</x:f>
        <x:v>0</x:v>
      </x:c>
      <x:c r="J6" s="18" t="n">
        <x:f>COUNTIF(F6:F6,"Hadir")+COUNTIF(F6:F6,"Izin")+COUNTIF(F6:F6,"Tidak hadir")+COUNTIF(F6:F6,"Belum mengisi")</x:f>
        <x:v>1</x:v>
      </x:c>
      <x:c r="K6" s="24" t="n">
        <x:f>IF(J6=0,0,G6/J6)</x:f>
        <x:v>1</x:v>
      </x:c>
      <x:c r="L6" s="18" t="str">
        <x:f>IF(J6=0,"Belum ada agenda",IF(K6&gt;=0.8,"Sangat aktif",IF(K6&gt;=0.6,"Aktif",IF(K6&gt;=0.4,"Perlu ditingkatkan","Perlu perhatian"))))</x:f>
        <x:v>Sangat aktif</x:v>
      </x:c>
    </x:row>
  </x:sheetData>
  <x:mergeCells>
    <x:mergeCell ref="A1:L1"/>
    <x:mergeCell ref="A2:L2"/>
    <x:mergeCell ref="A3:L3"/>
  </x:mergeCells>
  <x:conditionalFormatting sqref="F5:F6">
    <x:cfRule type="containsText" dxfId="0" priority="1" operator="containsText" text="Hadir"/>
    <x:cfRule type="containsText" dxfId="1" priority="2" operator="containsText" text="Izin"/>
    <x:cfRule type="containsText" dxfId="2" priority="3" operator="containsText" text="Tidak hadir"/>
    <x:cfRule type="containsText" dxfId="3" priority="4" operator="containsText" text="Belum mengisi"/>
  </x:conditionalFormatting>
  <x:conditionalFormatting sqref="K5:K6">
    <x:cfRule type="dataBar" priority="5">
      <x:dataBar>
        <x:cfvo type="num" val="0"/>
        <x:cfvo type="num" val="1"/>
        <x:color rgb="FF2D72E8"/>
      </x:dataBar>
      <x:extLst>
        <x:ext xmlns:x14="http://schemas.microsoft.com/office/spreadsheetml/2009/9/main" uri="{B025F937-C7B1-47D3-B67F-A62EFF666E3E}">
          <x14:id>{61A3AECC-8ADB-A989-59C1-ABCD5AD9ABFD}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61A3AECC-8ADB-A989-59C1-ABCD5AD9ABFD}">
            <x14:dataBar gradient="1">
              <x14:cfvo type="num">
                <xm:f>0</xm:f>
              </x14:cfvo>
              <x14:cfvo type="num">
                <xm:f>1</xm:f>
              </x14:cfvo>
              <x14:fillColor rgb="FF2D72E8"/>
            </x14:dataBar>
          </x14:cfRule>
          <xm:sqref>K5:K6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16" hidden="0" customWidth="1"/>
    <x:col min="4" max="4" width="28" hidden="0" customWidth="1"/>
    <x:col min="5" max="5" width="14" hidden="0" customWidth="1"/>
    <x:col min="6" max="6" width="48" hidden="0" customWidth="1"/>
  </x:cols>
  <x:sheetData>
    <x:row r="1" ht="34" customHeight="1">
      <x:c r="A1" s="3" t="str">
        <x:v>DETAIL IZIN — NIHON</x:v>
      </x:c>
      <x:c r="B1" s="3" t="str">
        <x:v>DETAIL IZIN — NIHON</x:v>
      </x:c>
      <x:c r="C1" s="3" t="str">
        <x:v>DETAIL IZIN — NIHON</x:v>
      </x:c>
      <x:c r="D1" s="3" t="str">
        <x:v>DETAIL IZIN — NIHON</x:v>
      </x:c>
      <x:c r="E1" s="3" t="str">
        <x:v>DETAIL IZIN — NIHON</x:v>
      </x:c>
      <x:c r="F1" s="3" t="str">
        <x:v>DETAIL IZIN — NIHON</x:v>
      </x:c>
    </x:row>
    <x:row r="2">
      <x:c r="A2" s="37" t="str">
        <x:v>Daftar alasan izin yang dikirim siswa pada setiap agenda.</x:v>
      </x:c>
      <x:c r="B2" s="37" t="str">
        <x:v>Daftar alasan izin yang dikirim siswa pada setiap agenda.</x:v>
      </x:c>
      <x:c r="C2" s="37" t="str">
        <x:v>Daftar alasan izin yang dikirim siswa pada setiap agenda.</x:v>
      </x:c>
      <x:c r="D2" s="37" t="str">
        <x:v>Daftar alasan izin yang dikirim siswa pada setiap agenda.</x:v>
      </x:c>
      <x:c r="E2" s="37" t="str">
        <x:v>Daftar alasan izin yang dikirim siswa pada setiap agenda.</x:v>
      </x:c>
      <x:c r="F2" s="37" t="str">
        <x:v>Daftar alasan izin yang dikirim siswa pada setiap agenda.</x:v>
      </x:c>
    </x:row>
    <x:row r="4">
      <x:c r="A4" s="10" t="str">
        <x:v>No</x:v>
      </x:c>
      <x:c r="B4" s="10" t="str">
        <x:v>Tanggal</x:v>
      </x:c>
      <x:c r="C4" s="10" t="str">
        <x:v>NIS</x:v>
      </x:c>
      <x:c r="D4" s="10" t="str">
        <x:v>Nama siswa</x:v>
      </x:c>
      <x:c r="E4" s="10" t="str">
        <x:v>Kelas</x:v>
      </x:c>
      <x:c r="F4" s="10" t="str">
        <x:v>Alasan izin</x:v>
      </x:c>
    </x:row>
    <x:row r="5">
      <x:c r="A5" s="39" t="str">
        <x:v>Belum ada catatan izin.</x:v>
      </x:c>
      <x:c r="B5" s="41" t="str">
        <x:v>Belum ada catatan izin.</x:v>
      </x:c>
      <x:c r="C5" s="43" t="str">
        <x:v>Belum ada catatan izin.</x:v>
      </x:c>
      <x:c r="D5" s="39" t="str">
        <x:v>Belum ada catatan izin.</x:v>
      </x:c>
      <x:c r="E5" s="39" t="str">
        <x:v>Belum ada catatan izin.</x:v>
      </x:c>
      <x:c r="F5" s="45" t="str">
        <x:v>Belum ada catatan izin.</x:v>
      </x:c>
    </x:row>
    <x:row r="6">
      <x:c r="A6" s="40" t="str">
        <x:v>Belum ada catatan izin.</x:v>
      </x:c>
      <x:c r="B6" s="42" t="str">
        <x:v>Belum ada catatan izin.</x:v>
      </x:c>
      <x:c r="C6" s="44" t="str">
        <x:v>Belum ada catatan izin.</x:v>
      </x:c>
      <x:c r="D6" s="40" t="str">
        <x:v>Belum ada catatan izin.</x:v>
      </x:c>
      <x:c r="E6" s="40" t="str">
        <x:v>Belum ada catatan izin.</x:v>
      </x:c>
      <x:c r="F6" s="46" t="str">
        <x:v>Belum ada catatan izin.</x:v>
      </x:c>
    </x:row>
  </x:sheetData>
  <x:mergeCells>
    <x:mergeCell ref="A1:F1"/>
    <x:mergeCell ref="A2:F2"/>
    <x:mergeCell ref="A5:F6"/>
  </x:mergeCells>
  <x:pageMargins left="0.7" right="0.7" top="0.75" bottom="0.75" header="0.3" footer="0.3"/>
</x:worksheet>
</file>