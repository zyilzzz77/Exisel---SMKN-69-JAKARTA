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Rekap Kehadiran" state="visible" r:id="rId5"/>
    <sheet sheetId="3" name="Detail Izin" state="visible" r:id="rId6"/>
  </sheets>
  <calcPr calcId="171027"/>
</workbook>
</file>

<file path=xl/sharedStrings.xml><?xml version="1.0" encoding="utf-8"?>
<sst xmlns="http://schemas.openxmlformats.org/spreadsheetml/2006/main" count="62" uniqueCount="31">
  <si>
    <t>LAPORAN KEAKTIFAN — PASKIBRA</t>
  </si>
  <si>
    <t>Ringkasan anggota dan kehadiran sampai 08 Agu 2026</t>
  </si>
  <si>
    <t>Anggota</t>
  </si>
  <si>
    <t>Agenda</t>
  </si>
  <si>
    <t>Jumlah hadir</t>
  </si>
  <si>
    <t>Izin</t>
  </si>
  <si>
    <t>Tidak hadir</t>
  </si>
  <si>
    <t>Tingkat kehadiran</t>
  </si>
  <si>
    <t>No</t>
  </si>
  <si>
    <t>NIS</t>
  </si>
  <si>
    <t>Nama siswa</t>
  </si>
  <si>
    <t>Kelas</t>
  </si>
  <si>
    <t>Hadir</t>
  </si>
  <si>
    <t>Total agenda</t>
  </si>
  <si>
    <t>Keaktifan</t>
  </si>
  <si>
    <t>12345</t>
  </si>
  <si>
    <t>Budi Santoso</t>
  </si>
  <si>
    <t>XI SIJA 1</t>
  </si>
  <si>
    <t>12346</t>
  </si>
  <si>
    <t>Siti Rahma</t>
  </si>
  <si>
    <t>REKAP KEHADIRAN EKSTRAKURIKULER — PASKIBRA</t>
  </si>
  <si>
    <t>Periode 01 Jan 2026 s.d. 08 Agu 2026 • Dibuat 08 Agu 2026 • EXISEL SMKN 69 Jakarta</t>
  </si>
  <si>
    <t>Sabtu, 08:00–10:00 • Lapangan Utama</t>
  </si>
  <si>
    <t>Tanggal bergabung</t>
  </si>
  <si>
    <t>01 Agu 2026</t>
  </si>
  <si>
    <t>08 Agu 2026</t>
  </si>
  <si>
    <t>DETAIL IZIN — PASKIBRA</t>
  </si>
  <si>
    <t>Daftar alasan izin yang dikirim siswa pada setiap agenda.</t>
  </si>
  <si>
    <t>Tanggal</t>
  </si>
  <si>
    <t>Alasan izin</t>
  </si>
  <si>
    <t>Sakit 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</si>
</sst>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-mmm-yyyy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B235F"/>
      <name val="Arial"/>
    </font>
    <font>
      <b/>
      <color rgb="FFFFFFFF"/>
      <name val="Arial"/>
    </font>
    <font>
      <b/>
      <color rgb="FF141414"/>
      <sz val="14"/>
      <name val="Arial"/>
    </font>
    <font>
      <color rgb="FF646464"/>
      <name val="Arial"/>
    </font>
    <font>
      <b/>
      <color rgb="FF141414"/>
      <name val="Arial"/>
    </font>
  </fonts>
  <fills count="10">
    <fill>
      <patternFill patternType="none"/>
    </fill>
    <fill>
      <patternFill patternType="gray125"/>
    </fill>
    <fill>
      <patternFill patternType="solid">
        <fgColor rgb="FF0B235F"/>
      </patternFill>
    </fill>
    <fill>
      <patternFill patternType="solid">
        <fgColor rgb="FFDCEAFF"/>
      </patternFill>
    </fill>
    <fill>
      <patternFill patternType="solid">
        <fgColor rgb="FFFF8A34"/>
      </patternFill>
    </fill>
    <fill>
      <patternFill patternType="solid">
        <fgColor rgb="FF2D72E8"/>
      </patternFill>
    </fill>
    <fill>
      <patternFill patternType="solid">
        <fgColor rgb="FFF7F7F4"/>
      </patternFill>
    </fill>
    <fill>
      <patternFill patternType="solid">
        <fgColor rgb="FFBAF7C7"/>
      </patternFill>
    </fill>
    <fill>
      <patternFill patternType="solid">
        <fgColor rgb="FFFFE0C2"/>
      </patternFill>
    </fill>
    <fill>
      <patternFill patternType="solid">
        <fgColor rgb="FFFFD2D2"/>
      </patternFill>
    </fill>
  </fills>
  <borders count="4">
    <border>
      <left/>
      <right/>
      <top/>
      <bottom/>
      <diagonal/>
    </border>
    <border>
      <left style="medium">
        <color rgb="FF0B235F"/>
      </left>
      <right style="medium">
        <color rgb="FF0B235F"/>
      </right>
      <top style="medium">
        <color rgb="FF0B235F"/>
      </top>
      <bottom style="medium">
        <color rgb="FF0B235F"/>
      </bottom>
      <diagonal/>
    </border>
    <border>
      <left style="thin">
        <color rgb="FFD4D7DE"/>
      </left>
      <right style="thin">
        <color rgb="FFD4D7DE"/>
      </right>
      <top/>
      <bottom style="thin">
        <color rgb="FFD4D7DE"/>
      </bottom>
      <diagonal/>
    </border>
    <border>
      <left style="thin">
        <color rgb="FFFFFFFF"/>
      </left>
      <right style="thin">
        <color rgb="FFFFFFFF"/>
      </right>
      <top style="medium">
        <color rgb="FF0B235F"/>
      </top>
      <bottom style="medium">
        <color rgb="FF0B235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5" fillId="6" borderId="0" xfId="0" applyFont="1" applyFill="1" applyAlignment="1">
      <alignment vertical="center"/>
    </xf>
    <xf numFmtId="0" fontId="3" fillId="5" borderId="3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6" fillId="8" borderId="0" xfId="0" applyFont="1" applyFill="1" applyAlignment="1">
      <alignment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14" customWidth="1"/>
    <col min="5" max="8" width="13" customWidth="1"/>
    <col min="9" max="9" width="18" customWidth="1"/>
    <col min="10" max="10" width="20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2" customHeight="1" spans="1:6" x14ac:dyDescent="0.25">
      <c r="A5" s="4">
        <f>=COUNTA('Rekap Kehadiran'!$C$5:$C$6)</f>
      </c>
      <c r="B5" s="4">
        <f>=COUNTA('Rekap Kehadiran'!$F$4:$G$4)</f>
      </c>
      <c r="C5" s="4">
        <f>=SUM('Rekap Kehadiran'!$H$5:$H$6)</f>
      </c>
      <c r="D5" s="4">
        <f>=SUM('Rekap Kehadiran'!$I$5:$I$6)</f>
      </c>
      <c r="E5" s="4">
        <f>=SUM('Rekap Kehadiran'!$J$5:$J$6)</f>
      </c>
      <c r="F5" s="5">
        <f>=IF(SUM('Rekap Kehadiran'!$K$5:$K$6)=0,0,C5/SUM('Rekap Kehadiran'!$K$5:$K$6))</f>
      </c>
    </row>
    <row r="8" ht="30" customHeight="1" spans="1:10" x14ac:dyDescent="0.2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5</v>
      </c>
      <c r="G8" s="6" t="s">
        <v>6</v>
      </c>
      <c r="H8" s="6" t="s">
        <v>13</v>
      </c>
      <c r="I8" s="6" t="s">
        <v>7</v>
      </c>
      <c r="J8" s="6" t="s">
        <v>14</v>
      </c>
    </row>
    <row r="9" ht="22" customHeight="1" spans="1:10" x14ac:dyDescent="0.25">
      <c r="A9" s="7">
        <v>1</v>
      </c>
      <c r="B9" s="8" t="s">
        <v>15</v>
      </c>
      <c r="C9" s="9" t="s">
        <v>16</v>
      </c>
      <c r="D9" s="7" t="s">
        <v>17</v>
      </c>
      <c r="E9" s="7">
        <f>='Rekap Kehadiran'!H5</f>
      </c>
      <c r="F9" s="7">
        <f>='Rekap Kehadiran'!I5</f>
      </c>
      <c r="G9" s="7">
        <f>='Rekap Kehadiran'!J5</f>
      </c>
      <c r="H9" s="7">
        <f>='Rekap Kehadiran'!K5</f>
      </c>
      <c r="I9" s="10">
        <f>='Rekap Kehadiran'!L5</f>
      </c>
      <c r="J9" s="7">
        <f>='Rekap Kehadiran'!M5</f>
      </c>
    </row>
    <row r="10" ht="22" customHeight="1" spans="1:10" x14ac:dyDescent="0.25">
      <c r="A10" s="7">
        <v>2</v>
      </c>
      <c r="B10" s="8" t="s">
        <v>18</v>
      </c>
      <c r="C10" s="9" t="s">
        <v>19</v>
      </c>
      <c r="D10" s="7" t="s">
        <v>17</v>
      </c>
      <c r="E10" s="7">
        <f>='Rekap Kehadiran'!H6</f>
      </c>
      <c r="F10" s="7">
        <f>='Rekap Kehadiran'!I6</f>
      </c>
      <c r="G10" s="7">
        <f>='Rekap Kehadiran'!J6</f>
      </c>
      <c r="H10" s="7">
        <f>='Rekap Kehadiran'!K6</f>
      </c>
      <c r="I10" s="10">
        <f>='Rekap Kehadiran'!L6</f>
      </c>
      <c r="J10" s="7">
        <f>='Rekap Kehadiran'!M6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14" customWidth="1"/>
    <col min="5" max="5" width="16" customWidth="1"/>
    <col min="6" max="7" width="15" customWidth="1"/>
    <col min="8" max="11" width="13" customWidth="1"/>
    <col min="12" max="12" width="18" customWidth="1"/>
    <col min="13" max="13" width="20" customWidth="1"/>
  </cols>
  <sheetData>
    <row r="1" ht="34" customHeight="1" spans="1:13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" customHeight="1" spans="1:13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0" customHeight="1" spans="1:13" x14ac:dyDescent="0.25">
      <c r="A3" s="11" t="s">
        <v>22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ht="32" customHeight="1" spans="1:13" x14ac:dyDescent="0.25">
      <c r="A4" s="12" t="s">
        <v>8</v>
      </c>
      <c r="B4" s="12" t="s">
        <v>9</v>
      </c>
      <c r="C4" s="12" t="s">
        <v>10</v>
      </c>
      <c r="D4" s="12" t="s">
        <v>11</v>
      </c>
      <c r="E4" s="12" t="s">
        <v>23</v>
      </c>
      <c r="F4" s="12" t="s">
        <v>24</v>
      </c>
      <c r="G4" s="12" t="s">
        <v>25</v>
      </c>
      <c r="H4" s="12" t="s">
        <v>12</v>
      </c>
      <c r="I4" s="12" t="s">
        <v>5</v>
      </c>
      <c r="J4" s="12" t="s">
        <v>6</v>
      </c>
      <c r="K4" s="12" t="s">
        <v>13</v>
      </c>
      <c r="L4" s="12" t="s">
        <v>7</v>
      </c>
      <c r="M4" s="12" t="s">
        <v>14</v>
      </c>
    </row>
    <row r="5" ht="22" customHeight="1" spans="1:13" x14ac:dyDescent="0.25">
      <c r="A5" s="7">
        <v>1</v>
      </c>
      <c r="B5" s="8" t="s">
        <v>15</v>
      </c>
      <c r="C5" s="9" t="s">
        <v>16</v>
      </c>
      <c r="D5" s="7" t="s">
        <v>17</v>
      </c>
      <c r="E5" s="13">
        <v>46032</v>
      </c>
      <c r="F5" s="14" t="s">
        <v>12</v>
      </c>
      <c r="G5" s="15" t="s">
        <v>5</v>
      </c>
      <c r="H5" s="7">
        <f>COUNTIF(F5:G5,"Hadir")</f>
      </c>
      <c r="I5" s="7">
        <f>COUNTIF(F5:G5,"Izin")</f>
      </c>
      <c r="J5" s="7">
        <f>COUNTIF(F5:G5,"Tidak hadir")</f>
      </c>
      <c r="K5" s="7">
        <f>COUNTIF(F5:G5,"Hadir")+COUNTIF(F5:G5,"Izin")+COUNTIF(F5:G5,"Tidak hadir")+COUNTIF(F5:G5,"Belum mengisi")</f>
      </c>
      <c r="L5" s="10">
        <f>IF(K5=0,0,H5/K5)</f>
      </c>
      <c r="M5" s="7">
        <f>IF(K5=0,"Belum ada agenda",IF(L5&gt;=0.8,"Sangat aktif",IF(L5&gt;=0.6,"Aktif",IF(L5&gt;=0.4,"Perlu ditingkatkan","Perlu perhatian"))))</f>
      </c>
    </row>
    <row r="6" ht="22" customHeight="1" spans="1:13" x14ac:dyDescent="0.25">
      <c r="A6" s="7">
        <v>2</v>
      </c>
      <c r="B6" s="8" t="s">
        <v>18</v>
      </c>
      <c r="C6" s="9" t="s">
        <v>19</v>
      </c>
      <c r="D6" s="7" t="s">
        <v>17</v>
      </c>
      <c r="E6" s="13">
        <v>46034</v>
      </c>
      <c r="F6" s="14" t="s">
        <v>12</v>
      </c>
      <c r="G6" s="16" t="s">
        <v>6</v>
      </c>
      <c r="H6" s="7">
        <f>COUNTIF(F6:G6,"Hadir")</f>
      </c>
      <c r="I6" s="7">
        <f>COUNTIF(F6:G6,"Izin")</f>
      </c>
      <c r="J6" s="7">
        <f>COUNTIF(F6:G6,"Tidak hadir")</f>
      </c>
      <c r="K6" s="7">
        <f>COUNTIF(F6:G6,"Hadir")+COUNTIF(F6:G6,"Izin")+COUNTIF(F6:G6,"Tidak hadir")+COUNTIF(F6:G6,"Belum mengisi")</f>
      </c>
      <c r="L6" s="10">
        <f>IF(K6=0,0,H6/K6)</f>
      </c>
      <c r="M6" s="7">
        <f>IF(K6=0,"Belum ada agenda",IF(L6&gt;=0.8,"Sangat aktif",IF(L6&gt;=0.6,"Aktif",IF(L6&gt;=0.4,"Perlu ditingkatkan","Perlu perhatian"))))</f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6" customWidth="1"/>
    <col min="4" max="4" width="28" customWidth="1"/>
    <col min="5" max="5" width="14" customWidth="1"/>
    <col min="6" max="6" width="48" customWidth="1"/>
  </cols>
  <sheetData>
    <row r="1" ht="34" customHeight="1" spans="1:6" x14ac:dyDescent="0.25">
      <c r="A1" s="1" t="s">
        <v>26</v>
      </c>
      <c r="B1" s="1"/>
      <c r="C1" s="1"/>
      <c r="D1" s="1"/>
      <c r="E1" s="1"/>
      <c r="F1" s="1"/>
    </row>
    <row r="2" ht="24" customHeight="1" spans="1:6" x14ac:dyDescent="0.25">
      <c r="A2" s="17" t="s">
        <v>27</v>
      </c>
      <c r="B2" s="17"/>
      <c r="C2" s="17"/>
      <c r="D2" s="17"/>
      <c r="E2" s="17"/>
      <c r="F2" s="17"/>
    </row>
    <row r="4" ht="30" customHeight="1" spans="1:6" x14ac:dyDescent="0.25">
      <c r="A4" s="6" t="s">
        <v>8</v>
      </c>
      <c r="B4" s="6" t="s">
        <v>28</v>
      </c>
      <c r="C4" s="6" t="s">
        <v>9</v>
      </c>
      <c r="D4" s="6" t="s">
        <v>10</v>
      </c>
      <c r="E4" s="6" t="s">
        <v>11</v>
      </c>
      <c r="F4" s="6" t="s">
        <v>29</v>
      </c>
    </row>
    <row r="5" ht="24" customHeight="1" spans="1:6" x14ac:dyDescent="0.25">
      <c r="A5" s="7">
        <v>1</v>
      </c>
      <c r="B5" s="13">
        <v>46242</v>
      </c>
      <c r="C5" s="8" t="s">
        <v>15</v>
      </c>
      <c r="D5" s="9" t="s">
        <v>16</v>
      </c>
      <c r="E5" s="7" t="s">
        <v>17</v>
      </c>
      <c r="F5" s="18" t="s">
        <v>30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Rekap Kehadiran</vt:lpstr>
      <vt:lpstr>Detail Izin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EXISEL SMKN 69 Jakarta</dc:creator>
  <dc:title/>
  <dc:subject/>
  <dc:description/>
  <cp:keywords/>
  <cp:category/>
  <cp:lastModifiedBy>EXISEL SMKN 69 Jakarta</cp:lastModifiedBy>
  <dcterms:created xsi:type="dcterms:W3CDTF">2026-08-08T05:48:38Z</dcterms:created>
  <dcterms:modified xsi:type="dcterms:W3CDTF">2026-08-08T05:48:38Z</dcterms:modified>
</cp:coreProperties>
</file>